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2060\Desktop\Domácí úkoly\Dějepis\"/>
    </mc:Choice>
  </mc:AlternateContent>
  <xr:revisionPtr revIDLastSave="0" documentId="8_{E92604FD-49E9-4472-B954-B9991A490BE4}" xr6:coauthVersionLast="47" xr6:coauthVersionMax="47" xr10:uidLastSave="{00000000-0000-0000-0000-000000000000}"/>
  <bookViews>
    <workbookView xWindow="-110" yWindow="-110" windowWidth="19420" windowHeight="10300" xr2:uid="{1F866E6C-74F6-4FD3-90CA-5C292B9FEADC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14" i="1"/>
  <c r="D15" i="1"/>
  <c r="D13" i="1"/>
  <c r="D12" i="1"/>
  <c r="D11" i="1"/>
  <c r="D4" i="1" l="1"/>
  <c r="D5" i="1"/>
  <c r="D6" i="1"/>
  <c r="D7" i="1"/>
  <c r="D8" i="1"/>
  <c r="D9" i="1"/>
  <c r="D10" i="1"/>
  <c r="D3" i="1"/>
  <c r="D2" i="1"/>
</calcChain>
</file>

<file path=xl/sharedStrings.xml><?xml version="1.0" encoding="utf-8"?>
<sst xmlns="http://schemas.openxmlformats.org/spreadsheetml/2006/main" count="34" uniqueCount="33">
  <si>
    <t>Součástka</t>
  </si>
  <si>
    <t>Počet ks</t>
  </si>
  <si>
    <t>Cena 1 ks</t>
  </si>
  <si>
    <t>Celková cena</t>
  </si>
  <si>
    <t>Odkaz</t>
  </si>
  <si>
    <t>Fotorezistor LDR5516 5-10K</t>
  </si>
  <si>
    <t>https://pajenicko.cz/soucastky/rezistory/fotorezistory/fotorezistor-ldr5516-5-10k</t>
  </si>
  <si>
    <t>2-kanálový relé modul - 5VDC 5A</t>
  </si>
  <si>
    <t>https://dratek.cz/arduino/834-arduino-rele-2-kanaly.html</t>
  </si>
  <si>
    <t>Relé modul 1-kanálový 5V</t>
  </si>
  <si>
    <t>https://dratek.cz/arduino/122112-rele-modul-1-kanalovy-5v-pro-arduino.html?srsltid=AfmBOoqINRa-yKeyVAggby3G2oJozRSQ5eXkj7p2K89bG9d7gLSAGYnrF_o</t>
  </si>
  <si>
    <t>Půdní analogový vlhkoměr s antikorozní sondou v2.0</t>
  </si>
  <si>
    <t>https://dratek.cz/arduino-platforma/174699-pudni-analogovy-vlhkomer-s-antikorozni-sondou-v2.0.html?srsltid=AfmBOoqztCBpjxhg-L1XditHS_HLlMhBVNJdC_sJE_azMaOgyDiP8uYDm_U</t>
  </si>
  <si>
    <t>Ponorné ultra-tiché čerpadlo 5V</t>
  </si>
  <si>
    <t>https://dratek.cz/arduino-platforma/176487-ponorne-ultra-tiche-cerpadlo-5v.html</t>
  </si>
  <si>
    <t>32x8 LED matice s MAX7219 3mm</t>
  </si>
  <si>
    <t>https://www.laskakit.cz/32x8-led-matice-s-max7219-3mm/</t>
  </si>
  <si>
    <t>DuPont kabel M-M - 40x, 20 cm</t>
  </si>
  <si>
    <t>https://dratek.cz/arduino-platforma/1063-eses-40-x-m-m-dupont-kabel.html</t>
  </si>
  <si>
    <t>Arduino UNO R4 WiFi, originál</t>
  </si>
  <si>
    <t>https://www.laskakit.cz/arduino-uno-r4-wifi--original/?srsltid=AfmBOoqEYGrx55EpR6TtWbsoYa0T651trTxaHDz6uYE8sxC3jId3ZrdICMA</t>
  </si>
  <si>
    <t>Ovládací panel TM1638 s LED</t>
  </si>
  <si>
    <t>https://www.laskakit.cz/arduino-ovladaci-panel-tm1638-s-led/#relatedFiles</t>
  </si>
  <si>
    <t>Servo MG995 s kovovými převody, kontinuální</t>
  </si>
  <si>
    <t>https://www.laskakit.cz/servo-mg995-s-kovovymi-prevody-kontinualni--extra-silne/</t>
  </si>
  <si>
    <t>Nepájivé kontaktní pole 400 pinů, Čiré</t>
  </si>
  <si>
    <t>https://www.laskakit.cz/nepajive-kontaktni-pole-400-pinu--cire/</t>
  </si>
  <si>
    <t>Bluetooth modul HC-05</t>
  </si>
  <si>
    <t>Bluetooth modul HC-06 RS232</t>
  </si>
  <si>
    <t>Nepájivé pole 830pinů</t>
  </si>
  <si>
    <t>https://dratek.cz/arduino-platforma/1225-eses-nepajive-pole-830-pinu.html?_gl=1*rxdxh0*_up*MQ..*_gs*MQ..&amp;gclid=Cj0KCQiAjJTKBhCjARIsAIMC44-XukPrzWMmPFmfN7OmBiLLYMHN6apnc-079ewcnyn1Ds-Yt_voXzkaAgGrEALw_wcB&amp;gbraid=0AAAAACVG_WdaHaZEIs-3XYT5lexHzwcjM</t>
  </si>
  <si>
    <t>https://dratek.cz/arduino-platforma/1720-bluetooth-modul-hc-06-rs232.html?_gl=1*4gk405*_up*MQ..*_gs*MQ..&amp;gclid=Cj0KCQiAjJTKBhCjARIsAIMC44-XukPrzWMmPFmfN7OmBiLLYMHN6apnc-079ewcnyn1Ds-Yt_voXzkaAgGrEALw_wcB&amp;gbraid=0AAAAACVG_WdaHaZEIs-3XYT5lexHzwcjM</t>
  </si>
  <si>
    <t>https://dratek.cz/arduino-platforma/1005-bluetooth-modul-hc-05.html?_gl=1*4gk405*_up*MQ..*_gs*MQ..&amp;gclid=Cj0KCQiAjJTKBhCjARIsAIMC44-XukPrzWMmPFmfN7OmBiLLYMHN6apnc-079ewcnyn1Ds-Yt_voXzkaAgGrEALw_wcB&amp;gbraid=0AAAAACVG_WdaHaZEIs-3XYT5lexHzwcjM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</si>
</sst>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Kč&quot;;[Red]\-#,##0.00\ &quot;Kč&quot;"/>
    <numFmt numFmtId="164" formatCode="#,##0.00\ &quot;Kč&quot;"/>
  </numFmts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8" fontId="0" fillId="0" borderId="3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8" fontId="0" fillId="0" borderId="10" xfId="0" applyNumberForma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8" xfId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horizontal="center" vertic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skakit.cz/arduino-ovladaci-panel-tm1638-s-led/" TargetMode="External"/><Relationship Id="rId13" Type="http://schemas.openxmlformats.org/officeDocument/2006/relationships/hyperlink" Target="https://dratek.cz/arduino-platforma/1005-bluetooth-modul-hc-05.html?_gl=1*4gk405*_up*MQ..*_gs*MQ..&amp;gclid=Cj0KCQiAjJTKBhCjARIsAIMC44-XukPrzWMmPFmfN7OmBiLLYMHN6apnc-079ewcnyn1Ds-Yt_voXzkaAgGrEALw_wcB&amp;gbraid=0AAAAACVG_WdaHaZEIs-3XYT5lexHzwcjM" TargetMode="External"/><Relationship Id="rId3" Type="http://schemas.openxmlformats.org/officeDocument/2006/relationships/hyperlink" Target="https://dratek.cz/arduino/834-arduino-rele-2-kanaly.html" TargetMode="External"/><Relationship Id="rId7" Type="http://schemas.openxmlformats.org/officeDocument/2006/relationships/hyperlink" Target="https://dratek.cz/arduino-platforma/1063-eses-40-x-m-m-dupont-kabel.html" TargetMode="External"/><Relationship Id="rId12" Type="http://schemas.openxmlformats.org/officeDocument/2006/relationships/hyperlink" Target="https://dratek.cz/arduino-platforma/1720-bluetooth-modul-hc-06-rs232.html?_gl=1*4gk405*_up*MQ..*_gs*MQ..&amp;gclid=Cj0KCQiAjJTKBhCjARIsAIMC44-XukPrzWMmPFmfN7OmBiLLYMHN6apnc-079ewcnyn1Ds-Yt_voXzkaAgGrEALw_wcB&amp;gbraid=0AAAAACVG_WdaHaZEIs-3XYT5lexHzwcjM" TargetMode="External"/><Relationship Id="rId2" Type="http://schemas.openxmlformats.org/officeDocument/2006/relationships/hyperlink" Target="https://www.laskakit.cz/arduino-uno-r4-wifi--original/?srsltid=AfmBOoqEYGrx55EpR6TtWbsoYa0T651trTxaHDz6uYE8sxC3jId3ZrdICMA" TargetMode="External"/><Relationship Id="rId1" Type="http://schemas.openxmlformats.org/officeDocument/2006/relationships/hyperlink" Target="https://pajenicko.cz/soucastky/rezistory/fotorezistory/fotorezistor-ldr5516-5-10k" TargetMode="External"/><Relationship Id="rId6" Type="http://schemas.openxmlformats.org/officeDocument/2006/relationships/hyperlink" Target="https://www.laskakit.cz/32x8-led-matice-s-max7219-3mm/" TargetMode="External"/><Relationship Id="rId11" Type="http://schemas.openxmlformats.org/officeDocument/2006/relationships/hyperlink" Target="https://dratek.cz/arduino-platforma/1225-eses-nepajive-pole-830-pinu.html?_gl=1*rxdxh0*_up*MQ..*_gs*MQ..&amp;gclid=Cj0KCQiAjJTKBhCjARIsAIMC44-XukPrzWMmPFmfN7OmBiLLYMHN6apnc-079ewcnyn1Ds-Yt_voXzkaAgGrEALw_wcB&amp;gbraid=0AAAAACVG_WdaHaZEIs-3XYT5lexHzwcjM" TargetMode="External"/><Relationship Id="rId5" Type="http://schemas.openxmlformats.org/officeDocument/2006/relationships/hyperlink" Target="https://dratek.cz/arduino-platforma/176487-ponorne-ultra-tiche-cerpadlo-5v.html" TargetMode="External"/><Relationship Id="rId10" Type="http://schemas.openxmlformats.org/officeDocument/2006/relationships/hyperlink" Target="https://www.laskakit.cz/nepajive-kontaktni-pole-400-pinu--cire/" TargetMode="External"/><Relationship Id="rId4" Type="http://schemas.openxmlformats.org/officeDocument/2006/relationships/hyperlink" Target="https://dratek.cz/arduino/122112-rele-modul-1-kanalovy-5v-pro-arduino.html?srsltid=AfmBOoqINRa-yKeyVAggby3G2oJozRSQ5eXkj7p2K89bG9d7gLSAGYnrF_o" TargetMode="External"/><Relationship Id="rId9" Type="http://schemas.openxmlformats.org/officeDocument/2006/relationships/hyperlink" Target="https://www.laskakit.cz/servo-mg995-s-kovovymi-prevody-kontinualni--extra-silne/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4C81-1F7C-44B8-A6E1-C68EA83E5904}">
  <dimension ref="A1:E23"/>
  <sheetViews>
    <sheetView tabSelected="1" workbookViewId="0">
      <selection activeCell="E28" sqref="E28"/>
    </sheetView>
  </sheetViews>
  <sheetFormatPr defaultRowHeight="14.5" x14ac:dyDescent="0.35"/>
  <cols>
    <col min="1" max="1" width="47.7265625" customWidth="1"/>
    <col min="2" max="2" width="13.7265625" customWidth="1"/>
    <col min="3" max="3" width="12.7265625" customWidth="1"/>
    <col min="4" max="4" width="15.7265625" customWidth="1"/>
    <col min="5" max="5" width="240.6328125" customWidth="1"/>
  </cols>
  <sheetData>
    <row r="1" spans="1:5" x14ac:dyDescent="0.35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x14ac:dyDescent="0.35">
      <c r="A2" s="12" t="s">
        <v>5</v>
      </c>
      <c r="B2" s="13">
        <v>2</v>
      </c>
      <c r="C2" s="2">
        <v>3</v>
      </c>
      <c r="D2" s="2">
        <f>C2*B2</f>
        <v>6</v>
      </c>
      <c r="E2" s="7" t="s">
        <v>6</v>
      </c>
    </row>
    <row r="3" spans="1:5" x14ac:dyDescent="0.35">
      <c r="A3" s="12" t="s">
        <v>11</v>
      </c>
      <c r="B3" s="13">
        <v>2</v>
      </c>
      <c r="C3" s="2">
        <v>36</v>
      </c>
      <c r="D3" s="2">
        <f>C3*B3</f>
        <v>72</v>
      </c>
      <c r="E3" s="7" t="s">
        <v>12</v>
      </c>
    </row>
    <row r="4" spans="1:5" x14ac:dyDescent="0.35">
      <c r="A4" s="12" t="s">
        <v>19</v>
      </c>
      <c r="B4" s="13">
        <v>2</v>
      </c>
      <c r="C4" s="2">
        <v>758</v>
      </c>
      <c r="D4" s="2">
        <f t="shared" ref="D4:D13" si="0">C4*B4</f>
        <v>1516</v>
      </c>
      <c r="E4" s="7" t="s">
        <v>20</v>
      </c>
    </row>
    <row r="5" spans="1:5" x14ac:dyDescent="0.35">
      <c r="A5" s="12" t="s">
        <v>9</v>
      </c>
      <c r="B5" s="13">
        <v>2</v>
      </c>
      <c r="C5" s="2">
        <v>32</v>
      </c>
      <c r="D5" s="2">
        <f t="shared" si="0"/>
        <v>64</v>
      </c>
      <c r="E5" s="7" t="s">
        <v>10</v>
      </c>
    </row>
    <row r="6" spans="1:5" x14ac:dyDescent="0.35">
      <c r="A6" s="12" t="s">
        <v>7</v>
      </c>
      <c r="B6" s="13">
        <v>2</v>
      </c>
      <c r="C6" s="2">
        <v>39</v>
      </c>
      <c r="D6" s="2">
        <f t="shared" si="0"/>
        <v>78</v>
      </c>
      <c r="E6" s="7" t="s">
        <v>8</v>
      </c>
    </row>
    <row r="7" spans="1:5" x14ac:dyDescent="0.35">
      <c r="A7" s="12" t="s">
        <v>13</v>
      </c>
      <c r="B7" s="13">
        <v>2</v>
      </c>
      <c r="C7" s="2">
        <v>201</v>
      </c>
      <c r="D7" s="2">
        <f t="shared" si="0"/>
        <v>402</v>
      </c>
      <c r="E7" s="7" t="s">
        <v>14</v>
      </c>
    </row>
    <row r="8" spans="1:5" x14ac:dyDescent="0.35">
      <c r="A8" s="12" t="s">
        <v>15</v>
      </c>
      <c r="B8" s="13">
        <v>2</v>
      </c>
      <c r="C8" s="2">
        <v>138</v>
      </c>
      <c r="D8" s="2">
        <f t="shared" si="0"/>
        <v>276</v>
      </c>
      <c r="E8" s="7" t="s">
        <v>16</v>
      </c>
    </row>
    <row r="9" spans="1:5" x14ac:dyDescent="0.35">
      <c r="A9" s="12" t="s">
        <v>17</v>
      </c>
      <c r="B9" s="13">
        <v>2</v>
      </c>
      <c r="C9" s="2">
        <v>35</v>
      </c>
      <c r="D9" s="2">
        <f t="shared" si="0"/>
        <v>70</v>
      </c>
      <c r="E9" s="7" t="s">
        <v>18</v>
      </c>
    </row>
    <row r="10" spans="1:5" x14ac:dyDescent="0.35">
      <c r="A10" s="12" t="s">
        <v>21</v>
      </c>
      <c r="B10" s="13">
        <v>2</v>
      </c>
      <c r="C10" s="2">
        <v>75</v>
      </c>
      <c r="D10" s="2">
        <f t="shared" si="0"/>
        <v>150</v>
      </c>
      <c r="E10" s="7" t="s">
        <v>22</v>
      </c>
    </row>
    <row r="11" spans="1:5" x14ac:dyDescent="0.35">
      <c r="A11" s="12" t="s">
        <v>23</v>
      </c>
      <c r="B11" s="13">
        <v>2</v>
      </c>
      <c r="C11" s="6">
        <v>138</v>
      </c>
      <c r="D11" s="6">
        <f t="shared" si="0"/>
        <v>276</v>
      </c>
      <c r="E11" s="7" t="s">
        <v>24</v>
      </c>
    </row>
    <row r="12" spans="1:5" x14ac:dyDescent="0.35">
      <c r="A12" s="12" t="s">
        <v>25</v>
      </c>
      <c r="B12" s="13">
        <v>1</v>
      </c>
      <c r="C12" s="6">
        <v>58</v>
      </c>
      <c r="D12" s="6">
        <f t="shared" si="0"/>
        <v>58</v>
      </c>
      <c r="E12" s="7" t="s">
        <v>26</v>
      </c>
    </row>
    <row r="13" spans="1:5" x14ac:dyDescent="0.35">
      <c r="A13" s="12" t="s">
        <v>27</v>
      </c>
      <c r="B13" s="13">
        <v>2</v>
      </c>
      <c r="C13" s="6">
        <v>117</v>
      </c>
      <c r="D13" s="6">
        <f t="shared" si="0"/>
        <v>234</v>
      </c>
      <c r="E13" s="7" t="s">
        <v>32</v>
      </c>
    </row>
    <row r="14" spans="1:5" x14ac:dyDescent="0.35">
      <c r="A14" s="12" t="s">
        <v>28</v>
      </c>
      <c r="B14" s="13">
        <v>2</v>
      </c>
      <c r="C14" s="6">
        <v>165</v>
      </c>
      <c r="D14" s="2">
        <f>C14*B14</f>
        <v>330</v>
      </c>
      <c r="E14" s="7" t="s">
        <v>31</v>
      </c>
    </row>
    <row r="15" spans="1:5" ht="15" thickBot="1" x14ac:dyDescent="0.4">
      <c r="A15" s="14" t="s">
        <v>29</v>
      </c>
      <c r="B15" s="4">
        <v>1</v>
      </c>
      <c r="C15" s="5">
        <v>37</v>
      </c>
      <c r="D15" s="3">
        <f>C15*B15</f>
        <v>37</v>
      </c>
      <c r="E15" s="8" t="s">
        <v>30</v>
      </c>
    </row>
    <row r="21" spans="2:3" ht="15" thickBot="1" x14ac:dyDescent="0.4"/>
    <row r="22" spans="2:3" ht="15" thickBot="1" x14ac:dyDescent="0.4">
      <c r="B22" s="16" t="s">
        <v>3</v>
      </c>
      <c r="C22" s="1">
        <f>D2+D3+D4+D5+D6+D7+D8+D9+D10+D11+D12+D13+D14+D15</f>
        <v>3569</v>
      </c>
    </row>
    <row r="23" spans="2:3" x14ac:dyDescent="0.35">
      <c r="C23" s="15"/>
    </row>
  </sheetData>
  <hyperlinks>
    <hyperlink ref="E2" r:id="rId1" xr:uid="{1E091DB2-8324-4913-B69A-02B4628E58D4}"/>
    <hyperlink ref="E4" r:id="rId2" xr:uid="{BCBADB5C-CB63-46FA-A67A-4E090456D40B}"/>
    <hyperlink ref="E6" r:id="rId3" xr:uid="{C36683E8-31BC-400B-B684-4482CF770485}"/>
    <hyperlink ref="E5" r:id="rId4" xr:uid="{C328B59A-3CAE-49DB-B9F7-217BC21A3145}"/>
    <hyperlink ref="E7" r:id="rId5" xr:uid="{E6D89982-16D1-4170-9FC2-432CAE6D1CC9}"/>
    <hyperlink ref="E8" r:id="rId6" xr:uid="{1BFA3EF1-75E1-442C-9DED-A85B9A09A1C4}"/>
    <hyperlink ref="E9" r:id="rId7" xr:uid="{5B451675-87C8-49C6-B03E-A612DCAAD92D}"/>
    <hyperlink ref="E10" r:id="rId8" location="relatedFiles" xr:uid="{11097FE7-F08C-4FAF-9C62-C20098804219}"/>
    <hyperlink ref="E11" r:id="rId9" xr:uid="{47C2A813-5B6C-4FD5-9D95-9A00DE73B4E0}"/>
    <hyperlink ref="E12" r:id="rId10" xr:uid="{6F5CA819-7F47-4A5A-BE20-AC21C4ADAC3F}"/>
    <hyperlink ref="E15" r:id="rId11" xr:uid="{02C32055-1C54-43C6-AFD6-3F65FBFBCD72}"/>
    <hyperlink ref="E14" r:id="rId12" xr:uid="{0AD6A8F2-A287-4241-B5DA-CB760360093E}"/>
    <hyperlink ref="E13" r:id="rId13" xr:uid="{6152A958-56C3-4CA5-AAFB-E1436D2F7405}"/>
  </hyperlinks>
  <pageMargins left="0.7" right="0.7" top="0.78740157499999996" bottom="0.78740157499999996" header="0.3" footer="0.3"/>
  <pageSetup paperSize="0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Havránek</dc:creator>
  <cp:lastModifiedBy>Adam Havránek</cp:lastModifiedBy>
  <dcterms:created xsi:type="dcterms:W3CDTF">2025-09-26T12:06:42Z</dcterms:created>
  <dcterms:modified xsi:type="dcterms:W3CDTF">2025-12-19T14:12:30Z</dcterms:modified>
</cp:coreProperties>
</file>